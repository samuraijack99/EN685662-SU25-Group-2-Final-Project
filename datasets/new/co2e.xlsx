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2761b97ac665c06/Desktop/JHU/685662/final_project/datasets/new/"/>
    </mc:Choice>
  </mc:AlternateContent>
  <xr:revisionPtr revIDLastSave="86" documentId="11_F25DC773A252ABDACC10481139DB661C5BDE58F0" xr6:coauthVersionLast="47" xr6:coauthVersionMax="47" xr10:uidLastSave="{629305C3-181A-4B87-B2C7-B3C5A05D476F}"/>
  <bookViews>
    <workbookView xWindow="-9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2" i="1"/>
</calcChain>
</file>

<file path=xl/sharedStrings.xml><?xml version="1.0" encoding="utf-8"?>
<sst xmlns="http://schemas.openxmlformats.org/spreadsheetml/2006/main" count="39" uniqueCount="29">
  <si>
    <t>Flowable</t>
  </si>
  <si>
    <t>GWP</t>
  </si>
  <si>
    <t>Carbon dioxide</t>
  </si>
  <si>
    <t>Carbon tetrafluoride</t>
  </si>
  <si>
    <t>HFC-125</t>
  </si>
  <si>
    <t>HFC-134a</t>
  </si>
  <si>
    <t>HFC-143a</t>
  </si>
  <si>
    <t>HFC-23</t>
  </si>
  <si>
    <t>HFC-236fa</t>
  </si>
  <si>
    <t>HFC-32</t>
  </si>
  <si>
    <t>HFCs and PFCs, unspecified</t>
  </si>
  <si>
    <t>Hexafluoroethane</t>
  </si>
  <si>
    <t>Methane</t>
  </si>
  <si>
    <t>Nitrogen trifluoride</t>
  </si>
  <si>
    <t>Nitrous oxide</t>
  </si>
  <si>
    <t>Perfluorobutane</t>
  </si>
  <si>
    <t>Perfluorocyclobutane</t>
  </si>
  <si>
    <t>Perfluorohexane</t>
  </si>
  <si>
    <t>Perfluoropropane</t>
  </si>
  <si>
    <t>Sulfur hexafluoride</t>
  </si>
  <si>
    <t>IPCC_Name</t>
  </si>
  <si>
    <t>PFC-14</t>
  </si>
  <si>
    <t>PFC-116</t>
  </si>
  <si>
    <t>Methane - non-fossil/fossil</t>
  </si>
  <si>
    <t>PFC-31-10</t>
  </si>
  <si>
    <t>PFC-318</t>
  </si>
  <si>
    <t>PFC-51-14</t>
  </si>
  <si>
    <t>PFC-218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</si>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</sst>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2" workbookViewId="0">
      <selection activeCell="D9" sqref="D9"/>
    </sheetView>
  </sheetViews>
  <sheetFormatPr defaultRowHeight="14.5" x14ac:dyDescent="0.35"/>
  <cols>
    <col min="1" max="1" width="23.26953125" customWidth="1"/>
    <col min="2" max="2" width="23.453125" customWidth="1"/>
  </cols>
  <sheetData>
    <row r="1" spans="1:3" x14ac:dyDescent="0.35">
      <c r="A1" t="s">
        <v>0</v>
      </c>
      <c r="B1" t="s">
        <v>20</v>
      </c>
      <c r="C1" t="s">
        <v>1</v>
      </c>
    </row>
    <row r="2" spans="1:3" x14ac:dyDescent="0.35">
      <c r="A2" t="s">
        <v>2</v>
      </c>
      <c r="B2" t="s">
        <v>2</v>
      </c>
      <c r="C2">
        <v>1</v>
      </c>
    </row>
    <row r="3" spans="1:3" x14ac:dyDescent="0.35">
      <c r="A3" t="s">
        <v>3</v>
      </c>
      <c r="B3" t="s">
        <v>21</v>
      </c>
      <c r="C3">
        <v>7380</v>
      </c>
    </row>
    <row r="4" spans="1:3" x14ac:dyDescent="0.35">
      <c r="A4" t="s">
        <v>4</v>
      </c>
      <c r="B4" t="s">
        <v>4</v>
      </c>
      <c r="C4">
        <v>3740</v>
      </c>
    </row>
    <row r="5" spans="1:3" x14ac:dyDescent="0.35">
      <c r="A5" t="s">
        <v>5</v>
      </c>
      <c r="B5" t="s">
        <v>5</v>
      </c>
      <c r="C5">
        <v>1530</v>
      </c>
    </row>
    <row r="6" spans="1:3" x14ac:dyDescent="0.35">
      <c r="A6" t="s">
        <v>6</v>
      </c>
      <c r="B6" t="s">
        <v>6</v>
      </c>
      <c r="C6">
        <v>5810</v>
      </c>
    </row>
    <row r="7" spans="1:3" x14ac:dyDescent="0.35">
      <c r="A7" t="s">
        <v>7</v>
      </c>
      <c r="B7" t="s">
        <v>7</v>
      </c>
      <c r="C7" s="1">
        <v>14600</v>
      </c>
    </row>
    <row r="8" spans="1:3" x14ac:dyDescent="0.35">
      <c r="A8" t="s">
        <v>8</v>
      </c>
      <c r="B8" t="s">
        <v>8</v>
      </c>
      <c r="C8">
        <v>8690</v>
      </c>
    </row>
    <row r="9" spans="1:3" x14ac:dyDescent="0.35">
      <c r="A9" t="s">
        <v>9</v>
      </c>
      <c r="B9" t="s">
        <v>9</v>
      </c>
      <c r="C9">
        <v>771</v>
      </c>
    </row>
    <row r="10" spans="1:3" x14ac:dyDescent="0.35">
      <c r="A10" t="s">
        <v>10</v>
      </c>
      <c r="B10" t="s">
        <v>28</v>
      </c>
      <c r="C10">
        <f>AVERAGE(14600, 771, 135, 3740, 1260, 1530, 364, 5810, 21.5, 164, 4.84, 2980, 3600, 1350, 1500, 8690, 787, 4550, 255, 325, 962, 74.8, 599, 2890, 914, 1600, 0.005, 0.052, 0.024, 0.344, 0.118, 0.315, 1.37, 0.501, 18, 2.08, 2.61, 0.182, 0.204, 0.162, 0.141, 0.377, 120, 231, 45.1, 258, 8.22, 0.24, 92.4, 25.6, 7380, 12400, 9290, 0, 10200, 10000, 9220, 8620, 8410, 8260, 7480, 0.004, 0.09, 10300, 9030, 8490, 7260, 2750, 18500, 4630, 126, 78.1, 7800, 7120, 0.004, 0.102, 1.97)</f>
        <v>2956.2396753246753</v>
      </c>
    </row>
    <row r="11" spans="1:3" x14ac:dyDescent="0.35">
      <c r="A11" t="s">
        <v>11</v>
      </c>
      <c r="B11" t="s">
        <v>22</v>
      </c>
      <c r="C11">
        <v>12400</v>
      </c>
    </row>
    <row r="12" spans="1:3" x14ac:dyDescent="0.35">
      <c r="A12" t="s">
        <v>12</v>
      </c>
      <c r="B12" t="s">
        <v>23</v>
      </c>
      <c r="C12">
        <f>(27+29.8)/2</f>
        <v>28.4</v>
      </c>
    </row>
    <row r="13" spans="1:3" x14ac:dyDescent="0.35">
      <c r="A13" t="s">
        <v>13</v>
      </c>
      <c r="B13" t="s">
        <v>13</v>
      </c>
      <c r="C13">
        <v>17400</v>
      </c>
    </row>
    <row r="14" spans="1:3" x14ac:dyDescent="0.35">
      <c r="A14" t="s">
        <v>14</v>
      </c>
      <c r="B14" t="s">
        <v>14</v>
      </c>
      <c r="C14">
        <v>273</v>
      </c>
    </row>
    <row r="15" spans="1:3" x14ac:dyDescent="0.35">
      <c r="A15" t="s">
        <v>15</v>
      </c>
      <c r="B15" t="s">
        <v>24</v>
      </c>
      <c r="C15">
        <v>10000</v>
      </c>
    </row>
    <row r="16" spans="1:3" x14ac:dyDescent="0.35">
      <c r="A16" t="s">
        <v>16</v>
      </c>
      <c r="B16" t="s">
        <v>25</v>
      </c>
      <c r="C16">
        <v>10200</v>
      </c>
    </row>
    <row r="17" spans="1:3" x14ac:dyDescent="0.35">
      <c r="A17" t="s">
        <v>17</v>
      </c>
      <c r="B17" t="s">
        <v>26</v>
      </c>
      <c r="C17">
        <v>8620</v>
      </c>
    </row>
    <row r="18" spans="1:3" x14ac:dyDescent="0.35">
      <c r="A18" t="s">
        <v>18</v>
      </c>
      <c r="B18" t="s">
        <v>27</v>
      </c>
      <c r="C18">
        <v>9290</v>
      </c>
    </row>
    <row r="19" spans="1:3" x14ac:dyDescent="0.35">
      <c r="A19" t="s">
        <v>19</v>
      </c>
      <c r="B19" t="s">
        <v>19</v>
      </c>
      <c r="C19">
        <v>24300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 Ambar Agustono</dc:creator>
  <cp:lastModifiedBy>Vian Ambar Agustono</cp:lastModifiedBy>
  <dcterms:created xsi:type="dcterms:W3CDTF">2015-06-05T18:17:20Z</dcterms:created>
  <dcterms:modified xsi:type="dcterms:W3CDTF">2025-07-17T18:10:54Z</dcterms:modified>
</cp:coreProperties>
</file>